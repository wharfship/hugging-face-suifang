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45" windowHeight="100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<sst xmlns="http://schemas.openxmlformats.org/spreadsheetml/2006/main" count="217" uniqueCount="137">
  <si>
    <t>历史对话编号</t>
  </si>
  <si>
    <t>身高</t>
  </si>
  <si>
    <t>体重</t>
  </si>
  <si>
    <t>BMI</t>
  </si>
  <si>
    <t>当前血压</t>
  </si>
  <si>
    <t>当前有无高血压</t>
  </si>
  <si>
    <t>（若有高血压）是否为过去一年新发</t>
  </si>
  <si>
    <t>（若有高血压）发现高血压至今时间</t>
  </si>
  <si>
    <t>（若有高血压）最高达</t>
  </si>
  <si>
    <t>（若有高血压）药物控制方案</t>
  </si>
  <si>
    <t>（若无高血压）过去一年有无出现血压升高</t>
  </si>
  <si>
    <t>当前空腹血糖</t>
  </si>
  <si>
    <t>当前有无糖尿病</t>
  </si>
  <si>
    <t>（若有糖尿病）是否为过去一年新发</t>
  </si>
  <si>
    <t>（若有糖尿病）发现糖尿病至今时间</t>
  </si>
  <si>
    <t>（若有糖尿病）最高达</t>
  </si>
  <si>
    <t>（若有糖尿病）糖化血红蛋白</t>
  </si>
  <si>
    <t>（若有糖尿病）药物控制方案</t>
  </si>
  <si>
    <t>（若无糖尿病）过去一年有无出现空腹血糖升高</t>
  </si>
  <si>
    <t>是否曾患冠心病</t>
  </si>
  <si>
    <t>（若曾患冠心病）是否为过去一年新发</t>
  </si>
  <si>
    <t>（若曾患冠心病）罹患冠心病至今时间</t>
  </si>
  <si>
    <t>（若曾患冠心病）治疗方式</t>
  </si>
  <si>
    <t>是否曾患脑血管病</t>
  </si>
  <si>
    <t>（若曾患脑血管病）是否为过去一年新发</t>
  </si>
  <si>
    <t>（若曾患脑血管病）罹患脑血管病至今时间</t>
  </si>
  <si>
    <t>（若曾患脑血管病）具体疾病、治疗方式及有无后遗症</t>
  </si>
  <si>
    <t>其余病史及用药情况</t>
  </si>
  <si>
    <t>（若有其余病史）请描述具体疾病、治疗方式、用药种类、用法、治疗效果</t>
  </si>
  <si>
    <t>近一年是否存在手术切口疼痛</t>
  </si>
  <si>
    <t>（若存在手术切口疼痛）手术切口疼痛持续时间</t>
  </si>
  <si>
    <t>（若存在手术切口疼痛）疼痛程度评分</t>
  </si>
  <si>
    <t>随访时受者状态</t>
  </si>
  <si>
    <t>血生化：血清肌酐</t>
  </si>
  <si>
    <t>尿常规：尿蛋白、尿潜血</t>
  </si>
  <si>
    <t>肾脏彩超</t>
  </si>
  <si>
    <t>答案</t>
  </si>
  <si>
    <t>120/80mmHg</t>
  </si>
  <si>
    <t>无</t>
  </si>
  <si>
    <t>70多</t>
  </si>
  <si>
    <t>阴性</t>
  </si>
  <si>
    <t>参照</t>
  </si>
  <si>
    <t>医生：问您几个问题，您目前身高体重是多少啊？
患者：1.64米，150多斤</t>
  </si>
  <si>
    <r>
      <rPr>
        <sz val="11"/>
        <color theme="1"/>
        <rFont val="宋体"/>
        <charset val="134"/>
        <scheme val="minor"/>
      </rPr>
      <t>体重（kg）/身高</t>
    </r>
    <r>
      <rPr>
        <vertAlign val="superscript"/>
        <sz val="11"/>
        <color theme="1"/>
        <rFont val="宋体"/>
        <charset val="134"/>
        <scheme val="minor"/>
      </rPr>
      <t>2</t>
    </r>
  </si>
  <si>
    <t>医生：请问您测量血压的值是多少？
患者：120/80mmHg。</t>
  </si>
  <si>
    <t>医生：好的，请问您有高血压吗？
患者：没有。</t>
  </si>
  <si>
    <t>医生：那术后这一年血压有没有波动高于140/90mmHg的时候？
患者：没有。</t>
  </si>
  <si>
    <t>医生：好的，没有糖尿病也不吃药吧？
患者：嗯，是的。</t>
  </si>
  <si>
    <t>医生：好的。您之前有没有得过这个心梗，脑梗，脑出血等心脑血管疾病？
患者：没有。</t>
  </si>
  <si>
    <t>医生：好的，您有没有得过什么其他疾病，吃什么药吗？
患者：没有。也不吃药。</t>
  </si>
  <si>
    <t>医生：好的，请问您最近一年手术切口还有没有疼？
患者：没有。</t>
  </si>
  <si>
    <t>医生：好的。请问目前受者现在的肌酐情况怎么样？最近一次肌酐监测结果是多少？
患者：70多。</t>
  </si>
  <si>
    <t>医生：好的，一般来说常规咱们一年是需要查一次的。如果说您最近一直没查，我们建议您去查一个好不好，您可以选择在当地查。我跟您说一下需要检查的项目，包括第一个血常规，第二个血生化肾功能，第三个尿常规，第四个肾脏彩超，一共就是这四项。还有就是血压情况，一般咱们供者术后血压波动大的还是挺多的。所以说建议您还是常规的监测着点儿血压情况。然后那您是最近打算什么时候去查？我们到时候再给您打电话看看您这个检验结果是否在正常范围内。
患者：我前一段时间刚查，肌酐是66。</t>
  </si>
  <si>
    <t>医生：尿常规呢，有没有尿蛋白和尿潜血？
患者：没有。</t>
  </si>
  <si>
    <t>医生：肾脏彩超呢？
患者：肾脏彩超做了也没事。</t>
  </si>
  <si>
    <t>有</t>
  </si>
  <si>
    <t>术后至今</t>
  </si>
  <si>
    <t>8分</t>
  </si>
  <si>
    <t>医生：请问目前您身高体重是多少？
患者：身高1米52，体重107斤。</t>
  </si>
  <si>
    <t>医生：请问您最近有没有规律监测血压情况？最近一次测血压是什么时候？
患者：有的，最近一次测是10多天之前。
医生：请问当时测的数值是多少？
患者：是正常的，具体数值记不得了。</t>
  </si>
  <si>
    <t>医生：请问您之前有高血压吗？
患者：没有。</t>
  </si>
  <si>
    <t>医生：那这一年血压有没有波动，有没有说一段时间高于140/90mmHg的时候？
患者：没有。</t>
  </si>
  <si>
    <t>医生：请问您血糖情况怎么样，有规律监测血糖吗？
患者：没规律监测血糖。</t>
  </si>
  <si>
    <t>医生：请问您有没有糖尿病？
患者：没有。</t>
  </si>
  <si>
    <t>医生：请问您之前有没有得过冠心病？
患者：没有。</t>
  </si>
  <si>
    <t>医生：请问您之前有没有得过脑血管病，包括脑梗、脑出血之类的？
患者：没有。</t>
  </si>
  <si>
    <t>医生：请问您有没有罹患其他疾病，吃着什么药吗？
患者：没有其他疾病，就是吃着钙片补钙。</t>
  </si>
  <si>
    <t>医生：好的。请问您最近伤口部位还有疼痛吗？
患者：有的。</t>
  </si>
  <si>
    <t>医生：请问疼了多久？
患者：就是从术后一直疼到现在。</t>
  </si>
  <si>
    <t>医生：好的。对于这个疼痛感，如果一分是最轻，十分是不能忍受的剧痛的话，这个疼痛的感觉您大概能评到几分？我们想了解一下您这个疼痛的程度如何
患者：八分吧。</t>
  </si>
  <si>
    <t>医生：好的。请问您儿子目前这个肌肝情况怎么样？
患者：他前几天刚去复查，肌酐是106。</t>
  </si>
  <si>
    <t>痛风</t>
  </si>
  <si>
    <t>痛风，发现至今7-8年，目前口服非布司他，未规律口服，间断口服2粒qd，疗效可</t>
  </si>
  <si>
    <t>医生：好的明白，有一些问题我先问问您。他身高体重大概是多少？
患者家属：身高176cm，体重186斤。</t>
  </si>
  <si>
    <t>医生：好的。最近有没有规律的监测血压情况。最近测是什么时候，具体数值是多少？
患者家属：有时候量，有时候不量。上一量大概是一个月前，数值是120/80mmHg。</t>
  </si>
  <si>
    <t>医生：他有没有高血压呀？
患者家属：没有高血压。</t>
  </si>
  <si>
    <t>医生：好的。那术后这一年血压有没有波动高过140/90mmHg的时候？
患者家属：没有。请问喝酒会对血压有影响吗？
医生：好的。喝酒还是会有一些影响的。</t>
  </si>
  <si>
    <t>医生：上一次测血糖是什么时候？具体数值是多少？
患者：也得半年了。
医生：那半年前测的血糖高吗？具体数值是多少？
患者：不高，正常的。具体数值记不清楚了。</t>
  </si>
  <si>
    <t>医生：有糖尿病吗？
患者：没有。</t>
  </si>
  <si>
    <t>医生：好的，请问您之前有没有得过冠心病啊？
患者：没有。</t>
  </si>
  <si>
    <t>医生：有没有得过那个脑血管病，例如脑出血，脑梗死之类的？
患者：没有。</t>
  </si>
  <si>
    <t>医生：请问您目前有无罹患其他疾病，有没有吃什么药？
患者：我尿酸高，有痛风。
医生：好的，发现痛风多久了？
患者：七八年了。
医生：好的。请问您目前吃什么药？
患者：非布司他。
医生：好的，请问您这个药是怎么吃的？
患者：我是只有疼的时候才吃，不疼不吃。疼的时候一天吃两粒。
医生：好的。痛风有做相关的手术治疗吗？
患者：没有。</t>
  </si>
  <si>
    <t>医生：好的，那您术后这一年还有没有手术切口的疼痛？
患者：没有疼了。就是一变天的时候伤口发痒。</t>
  </si>
  <si>
    <t>医生：好的。受者现在肌酐情况怎么样？
患者：他每两个月去复查一次，具体数值我不太清楚。</t>
  </si>
  <si>
    <t>128/80mmHg</t>
  </si>
  <si>
    <t>否</t>
  </si>
  <si>
    <t>7年</t>
  </si>
  <si>
    <t>目前口服二甲双胍1粒bid，控制可</t>
  </si>
  <si>
    <t>移植肾失功，恢复透析</t>
  </si>
  <si>
    <t>医生：好的。您现在身高体重是多少？
患者：体重120斤左右，身高1米56。</t>
  </si>
  <si>
    <t>医生：请问您最近有没有规律监测血压情况？最近一次测是什么时候，具体数值是多少呢？
患者：有，最近一次测大概几个星期前，是正常的。
医生：请问血压具体数值是多少？
患者：128/80mmHg。</t>
  </si>
  <si>
    <t>医生：您目前有没有高血压？有没有吃药？
患者：没有。</t>
  </si>
  <si>
    <t>医生：好的，那术后这一年中有没有出现过血压升高高于140/90mmHg的时候？
患者：没有。</t>
  </si>
  <si>
    <t>医生：好的。请问您最近有没有规律监测血糖情况？最近一次测是什么时候，具体数值是多少？
患者：有规律监测，大概每两个月测一次。最近空腹血糖在7左右。</t>
  </si>
  <si>
    <t>医生：请问您有糖尿病吗？
患者：有的。</t>
  </si>
  <si>
    <t>医生：请问您糖尿病多少年了？
患者：2018年发现的。</t>
  </si>
  <si>
    <t>医生：请问最高的时候空腹血糖能达到多少？
患者：7.8。</t>
  </si>
  <si>
    <t>医生：请问您最近有没有去查糖化血红蛋白？
患者：打算明天或后天去测。</t>
  </si>
  <si>
    <t>医生：好的，请问您目前吃什么药控制血糖？
患者：吃的二甲双胍。
医生：请问您一天吃几次，一次几粒？有没有打胰岛素或者吃别的药？
患者：每天两次，每次一粒。没有打胰岛素，也没有吃别的药。</t>
  </si>
  <si>
    <t>医生：好的。请问您之前有没有得过冠心病，也就是心梗？
患者：没有。</t>
  </si>
  <si>
    <t>医生：有没有得过脑血管病，例如脑梗脑出血之类的？
患者：没有。</t>
  </si>
  <si>
    <t>医生：请问您目前还有没有什么其他的疾病？或者用什么其他药物？
患者：没有其他的疾病，只吃二甲双胍这一种药。就是我的血肌酐目前在120多左右，没有升高也没有下降。</t>
  </si>
  <si>
    <t>医生：好的，请问您手术之后这一年手术切口还有没有疼痛？
患者：有时候还是有点不舒服。
医生：是一直持续的疼吗还是间断发作？
患者：也不是疼，就是偶尔有些不舒服。</t>
  </si>
  <si>
    <t>医生：请问受者现在情况怎么样？最近一次复查肌酐是多少？
患者：受者这一次移植失败了，之后又移植了一次。</t>
  </si>
  <si>
    <t>腰间盘突出</t>
  </si>
  <si>
    <t>腰间盘突出，发现至今10余年，目前间断口服止痛药</t>
  </si>
  <si>
    <t>间断出现</t>
  </si>
  <si>
    <t>3分</t>
  </si>
  <si>
    <t>医生：好嘞，请问您目前的身高体重是多少？
患者：体重125斤左右，身高160cm左右。</t>
  </si>
  <si>
    <t>医生：好的，请问您最近有没有规律监测血压？最近一次测是什么时候呢？
患者：有规律监测，最近一次测血压是两三个礼拜前。
医生：请问当时测的时候血压值是多少呢？
患者：120/80mmHg。</t>
  </si>
  <si>
    <t>医生：好的，请问您目前有高血压的情况吗？有吃药吗？
患者：没有高血压。</t>
  </si>
  <si>
    <t>医生：好的，那做完手术术后这一年内有没有出现过血压升高的情况？有没有出现血压有一次大于140/90mmHg的？
患者：没有。术后的血压也一直是正常的。</t>
  </si>
  <si>
    <t>医生：好的，请问您有没有规律的监测血糖情况？
患者：没有。
医生：请问上一次测量血糖是什么时候？具体数值是多少呢？
患者：忘记了测的时间和数值了。</t>
  </si>
  <si>
    <t>医生：好的，请问您有糖尿病吗？
患者：没有糖尿病。</t>
  </si>
  <si>
    <t>医生：好的，那您之前有没有得过冠心病啊？也就是心梗。
患者：没有。</t>
  </si>
  <si>
    <t>医生：有没有得过脑血管病？例如脑出血，脑梗之类的？
患者：没有。</t>
  </si>
  <si>
    <t>医生：请问您有没有其他疾病？吃着什么药吗？
患者：我有腰间盘突出。
医生：请问您发现腰间盘突出到现在多久了？
患者：挺长时间了，有10多年了。
医生：请问您有吃什么药吗？
患者：疼的时候会吃止疼的药。
医生：请问您还有什么其他疾病吗？
患者：没有其他疾病了。</t>
  </si>
  <si>
    <t xml:space="preserve">医生：请问您术后到现在手术切口的位置有没有疼痛？
患者：以前伤口里边有一点疼，就是插的那根管的旁边的里面。
</t>
  </si>
  <si>
    <t xml:space="preserve">
医生：请问疼痛什么时候出现的，大概持续了多久？
患者：去年冬天出现的，有过一两次。
医生：后来是怎么好的呢？
患者：就是自然自己就不疼了。
</t>
  </si>
  <si>
    <t xml:space="preserve">
医生：好的，如果说让您对这个疼痛打分，一分是不疼，十分是难以忍受的疼的话，请问这个疼痛感您大概能打到几分？
患者：大概3，4分的样子。</t>
  </si>
  <si>
    <t>医生：请问最近受者有规律的复查吗？最近一次测量的肌酐数值是多少呢？
患者：有规律的在你们医院复查，具体肌酐数值我也不太清楚。</t>
  </si>
  <si>
    <t>110-120/80-90mmHg</t>
  </si>
  <si>
    <t>80-90</t>
  </si>
  <si>
    <t>医生：请问您目前的身高体重？
患者：身高1米7，体重132。</t>
  </si>
  <si>
    <t>医生：请问您最近有没有规律的监测血压？最近一次测血压是什么时候？测量的具体数值是多少？
患者：有规律监测，最近一次测试是10来天前，具体数值忘记了，大概范围是110-120/80-90mmHg。</t>
  </si>
  <si>
    <t>医生：好的，请问您有高血压吗？有吃药控制吗？
患者：没有高血压，也没有吃药。</t>
  </si>
  <si>
    <t>医生：请问您术后这一年血压有没有高过正常上限，也就是140/90mmHg的时候？
患者：没，一直都是很正常。</t>
  </si>
  <si>
    <t>医生：请问您最近有没有规律监测血糖情况？最近一次测血糖是什么时候？测量的具体数值是多少？
患者：最近没有监测，血糖从来不高。</t>
  </si>
  <si>
    <t>医生：请问您有糖尿病吗？有没有吃药控制血糖？
患者：没有糖尿病也没有吃药控制。</t>
  </si>
  <si>
    <t>医生：请问您最近一年有没有出现过空腹血糖升高的情况？
患者：没有</t>
  </si>
  <si>
    <t>医生：请问您之前有没有得过脑血管病，有没有得过脑梗或脑出血之类的疾病？
患者：也没有。</t>
  </si>
  <si>
    <t>医生：请问您有没有患其他疾病？目前有吃什么药吗？
患者：没有。</t>
  </si>
  <si>
    <t>医生：请问您最近一年伤口有没有疼痛的感觉？
患者：没有。</t>
  </si>
  <si>
    <t>医生：请问受者目前在按时复查吗，最近一次肌酐数值是多少？
患者：在按时复查，具体肌酐数值我忘记了，肌酐情况挺稳定的，波动范围一般就在10左右。
医生：大概数值是多少？
患者：120左右。</t>
  </si>
  <si>
    <t>医生：那您目前那个肌肝情况，肌肝数值是多少？
患者：好像是80多，80，90的样子。</t>
  </si>
  <si>
    <t>医生：好的，请问您有没有做尿常规检查？
患者：做了。
医生：请问您有没有尿蛋白，尿潜血阳性的情况？
患者：都是阴性的。</t>
  </si>
  <si>
    <t>医生：请问您有做肾脏彩超吗？
患者：我是做的B超。
医生：是的，是一个意思，请问肾脏的B超有报什么问题吗？
患者：没有，肾脏B超也是正常的。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</si>
</sst>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1"/>
  <sheetViews>
    <sheetView tabSelected="1" topLeftCell="AB1" workbookViewId="0">
      <pane ySplit="1" topLeftCell="A2" activePane="bottomLeft" state="frozen"/>
      <selection/>
      <selection pane="bottomLeft" activeCell="E3" sqref="E3"/>
    </sheetView>
  </sheetViews>
  <sheetFormatPr defaultColWidth="9.23333333333333" defaultRowHeight="13.5"/>
  <cols>
    <col min="1" max="1" width="14.7416666666667" customWidth="1"/>
    <col min="5" max="5" width="17.9333333333333" customWidth="1"/>
    <col min="6" max="6" width="19.225" customWidth="1"/>
    <col min="7" max="7" width="15.7" customWidth="1"/>
    <col min="8" max="8" width="38.1333333333333" customWidth="1"/>
    <col min="9" max="9" width="38.9333333333333" customWidth="1"/>
    <col min="10" max="10" width="24.5166666666667" customWidth="1"/>
    <col min="11" max="11" width="31.5666666666667" customWidth="1"/>
    <col min="12" max="12" width="45.6666666666667" customWidth="1"/>
    <col min="13" max="13" width="15.225" customWidth="1"/>
    <col min="14" max="14" width="17.3" customWidth="1"/>
    <col min="15" max="15" width="38.775" customWidth="1"/>
    <col min="16" max="16" width="38.1333333333333" customWidth="1"/>
    <col min="17" max="17" width="24.9916666666667" customWidth="1"/>
    <col min="18" max="18" width="32.05" customWidth="1"/>
    <col min="19" max="19" width="33.0083333333333" customWidth="1"/>
    <col min="20" max="20" width="50.3166666666667" customWidth="1"/>
    <col min="21" max="21" width="17.9416666666667" customWidth="1"/>
    <col min="22" max="22" width="41.0166666666667" customWidth="1"/>
    <col min="23" max="23" width="41.1833333333333" customWidth="1"/>
    <col min="24" max="24" width="29.3166666666667" customWidth="1"/>
    <col min="25" max="25" width="20.025" customWidth="1"/>
    <col min="26" max="26" width="43.575" customWidth="1"/>
    <col min="27" max="27" width="45.825" customWidth="1"/>
    <col min="28" max="28" width="56.8833333333333" customWidth="1"/>
    <col min="29" max="29" width="21.1416666666667" customWidth="1"/>
    <col min="30" max="30" width="78.0416666666667" customWidth="1"/>
    <col min="31" max="31" width="31.7333333333333" customWidth="1"/>
    <col min="32" max="32" width="51.1166666666667" customWidth="1"/>
    <col min="33" max="33" width="40.3833333333333" customWidth="1"/>
    <col min="34" max="34" width="22.1166666666667" customWidth="1"/>
    <col min="35" max="35" width="19.5416666666667" customWidth="1"/>
    <col min="36" max="36" width="26.6" customWidth="1"/>
    <col min="37" max="37" width="12.175" customWidth="1"/>
  </cols>
  <sheetData>
    <row r="1" s="1" customFormat="1" ht="14.25" spans="1:37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</row>
    <row r="2" spans="1:37">
      <c r="A2" s="1">
        <v>1</v>
      </c>
      <c r="B2" s="1" t="s">
        <v>36</v>
      </c>
      <c r="C2" s="1">
        <v>1.64</v>
      </c>
      <c r="D2" s="1">
        <v>75</v>
      </c>
      <c r="E2" s="1">
        <f>D2/(C2*C2)</f>
        <v>27.8851873884593</v>
      </c>
      <c r="F2" s="1" t="s">
        <v>37</v>
      </c>
      <c r="G2" s="1" t="s">
        <v>38</v>
      </c>
      <c r="H2" s="1"/>
      <c r="I2" s="1"/>
      <c r="J2" s="1"/>
      <c r="K2" s="1"/>
      <c r="L2" s="1" t="s">
        <v>38</v>
      </c>
      <c r="M2" s="1"/>
      <c r="N2" s="1" t="s">
        <v>38</v>
      </c>
      <c r="O2" s="1"/>
      <c r="P2" s="1"/>
      <c r="Q2" s="1"/>
      <c r="R2" s="1"/>
      <c r="S2" s="1"/>
      <c r="T2" s="1"/>
      <c r="U2" s="1" t="s">
        <v>38</v>
      </c>
      <c r="V2" s="1"/>
      <c r="W2" s="1"/>
      <c r="X2" s="1"/>
      <c r="Y2" s="1" t="s">
        <v>38</v>
      </c>
      <c r="Z2" s="1"/>
      <c r="AA2" s="1"/>
      <c r="AB2" s="1"/>
      <c r="AC2" s="1" t="s">
        <v>38</v>
      </c>
      <c r="AD2" s="1"/>
      <c r="AE2" s="1" t="s">
        <v>38</v>
      </c>
      <c r="AF2" s="1"/>
      <c r="AG2" s="1"/>
      <c r="AH2" s="1" t="s">
        <v>39</v>
      </c>
      <c r="AI2" s="1">
        <v>66</v>
      </c>
      <c r="AJ2" s="1" t="s">
        <v>40</v>
      </c>
      <c r="AK2" s="1"/>
    </row>
    <row r="3" s="2" customFormat="1" ht="324" spans="1:37">
      <c r="B3" s="1" t="s">
        <v>41</v>
      </c>
      <c r="C3" s="4" t="s">
        <v>42</v>
      </c>
      <c r="D3" s="4" t="s">
        <v>42</v>
      </c>
      <c r="E3" s="5" t="s">
        <v>43</v>
      </c>
      <c r="F3" s="6" t="s">
        <v>44</v>
      </c>
      <c r="G3" s="4" t="s">
        <v>45</v>
      </c>
      <c r="H3" s="2"/>
      <c r="I3" s="2"/>
      <c r="J3" s="2"/>
      <c r="K3" s="2"/>
      <c r="L3" s="4" t="s">
        <v>46</v>
      </c>
      <c r="M3" s="2"/>
      <c r="N3" s="4" t="s">
        <v>47</v>
      </c>
      <c r="O3" s="2"/>
      <c r="P3" s="2"/>
      <c r="Q3" s="2"/>
      <c r="R3" s="2"/>
      <c r="S3" s="2"/>
      <c r="T3" s="2"/>
      <c r="U3" s="4" t="s">
        <v>48</v>
      </c>
      <c r="V3" s="2"/>
      <c r="W3" s="2"/>
      <c r="X3" s="2"/>
      <c r="Y3" s="4" t="s">
        <v>48</v>
      </c>
      <c r="Z3" s="2"/>
      <c r="AA3" s="2"/>
      <c r="AB3" s="2"/>
      <c r="AC3" s="4" t="s">
        <v>49</v>
      </c>
      <c r="AD3" s="2"/>
      <c r="AE3" s="4" t="s">
        <v>50</v>
      </c>
      <c r="AF3" s="2"/>
      <c r="AG3" s="2"/>
      <c r="AH3" s="4" t="s">
        <v>51</v>
      </c>
      <c r="AI3" s="4" t="s">
        <v>52</v>
      </c>
      <c r="AJ3" s="4" t="s">
        <v>53</v>
      </c>
      <c r="AK3" s="4" t="s">
        <v>54</v>
      </c>
    </row>
    <row r="4" spans="1:37">
      <c r="A4" s="1">
        <v>2</v>
      </c>
      <c r="B4" s="1" t="s">
        <v>36</v>
      </c>
      <c r="C4" s="1">
        <v>1.52</v>
      </c>
      <c r="D4" s="1">
        <v>53.5</v>
      </c>
      <c r="E4" s="1">
        <f t="shared" ref="E3:E21" si="0">D4/(C4*C4)</f>
        <v>23.156163434903</v>
      </c>
      <c r="F4" s="1"/>
      <c r="G4" s="1" t="s">
        <v>38</v>
      </c>
      <c r="H4" s="1"/>
      <c r="I4" s="1"/>
      <c r="J4" s="1"/>
      <c r="K4" s="1"/>
      <c r="L4" s="1" t="s">
        <v>38</v>
      </c>
      <c r="M4" s="1"/>
      <c r="N4" s="1" t="s">
        <v>38</v>
      </c>
      <c r="O4" s="1"/>
      <c r="P4" s="1"/>
      <c r="Q4" s="1"/>
      <c r="R4" s="1"/>
      <c r="S4" s="1"/>
      <c r="T4" s="1"/>
      <c r="U4" s="1" t="s">
        <v>38</v>
      </c>
      <c r="V4" s="1"/>
      <c r="W4" s="1"/>
      <c r="X4" s="1"/>
      <c r="Y4" s="1" t="s">
        <v>38</v>
      </c>
      <c r="Z4" s="1"/>
      <c r="AA4" s="1"/>
      <c r="AB4" s="1"/>
      <c r="AC4" s="1" t="s">
        <v>38</v>
      </c>
      <c r="AD4" s="1"/>
      <c r="AE4" s="1" t="s">
        <v>55</v>
      </c>
      <c r="AF4" s="1" t="s">
        <v>56</v>
      </c>
      <c r="AG4" s="1" t="s">
        <v>57</v>
      </c>
      <c r="AH4" s="1">
        <v>106</v>
      </c>
    </row>
    <row r="5" s="2" customFormat="1" ht="135" spans="1:37">
      <c r="B5" s="1" t="s">
        <v>41</v>
      </c>
      <c r="C5" s="4" t="s">
        <v>58</v>
      </c>
      <c r="D5" s="4" t="s">
        <v>58</v>
      </c>
      <c r="E5" s="5" t="s">
        <v>43</v>
      </c>
      <c r="F5" s="6" t="s">
        <v>59</v>
      </c>
      <c r="G5" s="4" t="s">
        <v>60</v>
      </c>
      <c r="H5" s="2"/>
      <c r="I5" s="2"/>
      <c r="J5" s="2"/>
      <c r="K5" s="2"/>
      <c r="L5" s="4" t="s">
        <v>61</v>
      </c>
      <c r="M5" s="4" t="s">
        <v>62</v>
      </c>
      <c r="N5" s="4" t="s">
        <v>63</v>
      </c>
      <c r="O5" s="2"/>
      <c r="P5" s="2"/>
      <c r="Q5" s="2"/>
      <c r="R5" s="2"/>
      <c r="S5" s="2"/>
      <c r="T5" s="2"/>
      <c r="U5" s="4" t="s">
        <v>64</v>
      </c>
      <c r="V5" s="2"/>
      <c r="W5" s="2"/>
      <c r="X5" s="2"/>
      <c r="Y5" s="4" t="s">
        <v>65</v>
      </c>
      <c r="Z5" s="2"/>
      <c r="AA5" s="2"/>
      <c r="AB5" s="2"/>
      <c r="AC5" s="4" t="s">
        <v>66</v>
      </c>
      <c r="AD5" s="2"/>
      <c r="AE5" s="4" t="s">
        <v>67</v>
      </c>
      <c r="AF5" s="4" t="s">
        <v>68</v>
      </c>
      <c r="AG5" s="4" t="s">
        <v>69</v>
      </c>
      <c r="AH5" s="4" t="s">
        <v>70</v>
      </c>
    </row>
    <row r="6" spans="1:37">
      <c r="A6" s="1">
        <v>3</v>
      </c>
      <c r="B6" s="1" t="s">
        <v>36</v>
      </c>
      <c r="C6" s="1">
        <v>1.76</v>
      </c>
      <c r="D6" s="1">
        <v>93</v>
      </c>
      <c r="E6" s="1">
        <f t="shared" si="0"/>
        <v>30.0232438016529</v>
      </c>
      <c r="F6" s="1" t="s">
        <v>37</v>
      </c>
      <c r="G6" s="7" t="s">
        <v>38</v>
      </c>
      <c r="H6" s="1"/>
      <c r="I6" s="1"/>
      <c r="J6" s="1"/>
      <c r="K6" s="1"/>
      <c r="L6" s="1" t="s">
        <v>38</v>
      </c>
      <c r="M6" s="1"/>
      <c r="N6" s="1" t="s">
        <v>38</v>
      </c>
      <c r="O6" s="1"/>
      <c r="P6" s="1"/>
      <c r="Q6" s="1"/>
      <c r="R6" s="1"/>
      <c r="S6" s="1"/>
      <c r="T6" s="1"/>
      <c r="U6" s="1" t="s">
        <v>38</v>
      </c>
      <c r="V6" s="1"/>
      <c r="W6" s="1"/>
      <c r="X6" s="1"/>
      <c r="Y6" s="1" t="s">
        <v>38</v>
      </c>
      <c r="Z6" s="1"/>
      <c r="AA6" s="1"/>
      <c r="AB6" s="1"/>
      <c r="AC6" s="1" t="s">
        <v>71</v>
      </c>
      <c r="AD6" s="1" t="s">
        <v>72</v>
      </c>
      <c r="AE6" s="1" t="s">
        <v>38</v>
      </c>
      <c r="AF6" s="1"/>
      <c r="AG6" s="1"/>
      <c r="AH6" s="1"/>
      <c r="AI6" s="1"/>
      <c r="AJ6" s="1"/>
      <c r="AK6" s="1"/>
    </row>
    <row r="7" s="2" customFormat="1" ht="256.5" spans="1:37">
      <c r="B7" s="1" t="s">
        <v>41</v>
      </c>
      <c r="C7" s="4" t="s">
        <v>73</v>
      </c>
      <c r="D7" s="4" t="s">
        <v>73</v>
      </c>
      <c r="E7" s="5" t="s">
        <v>43</v>
      </c>
      <c r="F7" s="6" t="s">
        <v>74</v>
      </c>
      <c r="G7" s="4" t="s">
        <v>75</v>
      </c>
      <c r="H7" s="2"/>
      <c r="I7" s="2"/>
      <c r="J7" s="2"/>
      <c r="K7" s="2"/>
      <c r="L7" s="4" t="s">
        <v>76</v>
      </c>
      <c r="M7" s="4" t="s">
        <v>77</v>
      </c>
      <c r="N7" s="4" t="s">
        <v>78</v>
      </c>
      <c r="O7" s="2"/>
      <c r="P7" s="2"/>
      <c r="Q7" s="2"/>
      <c r="R7" s="2"/>
      <c r="S7" s="2"/>
      <c r="T7" s="2"/>
      <c r="U7" s="4" t="s">
        <v>79</v>
      </c>
      <c r="V7" s="2"/>
      <c r="W7" s="2"/>
      <c r="X7" s="2"/>
      <c r="Y7" s="4" t="s">
        <v>80</v>
      </c>
      <c r="Z7" s="2"/>
      <c r="AA7" s="2"/>
      <c r="AB7" s="2"/>
      <c r="AC7" s="4" t="s">
        <v>81</v>
      </c>
      <c r="AD7" s="4" t="s">
        <v>81</v>
      </c>
      <c r="AE7" s="4" t="s">
        <v>82</v>
      </c>
      <c r="AF7" s="2"/>
      <c r="AG7" s="2"/>
      <c r="AH7" s="4" t="s">
        <v>83</v>
      </c>
    </row>
    <row r="8" spans="1:37">
      <c r="A8" s="1">
        <v>4</v>
      </c>
      <c r="B8" s="1" t="s">
        <v>36</v>
      </c>
      <c r="C8" s="1">
        <v>1.56</v>
      </c>
      <c r="D8" s="1">
        <v>60</v>
      </c>
      <c r="E8" s="1">
        <f t="shared" si="0"/>
        <v>24.65483234714</v>
      </c>
      <c r="F8" s="1" t="s">
        <v>84</v>
      </c>
      <c r="G8" s="1" t="s">
        <v>38</v>
      </c>
      <c r="H8" s="1"/>
      <c r="I8" s="1"/>
      <c r="J8" s="1"/>
      <c r="K8" s="1"/>
      <c r="L8" s="1" t="s">
        <v>38</v>
      </c>
      <c r="M8" s="1">
        <v>7</v>
      </c>
      <c r="N8" s="1" t="s">
        <v>55</v>
      </c>
      <c r="O8" s="1" t="s">
        <v>85</v>
      </c>
      <c r="P8" s="1" t="s">
        <v>86</v>
      </c>
      <c r="Q8" s="1">
        <v>7.8</v>
      </c>
      <c r="R8" s="1"/>
      <c r="S8" s="1" t="s">
        <v>87</v>
      </c>
      <c r="T8" s="1"/>
      <c r="U8" s="1" t="s">
        <v>38</v>
      </c>
      <c r="V8" s="1"/>
      <c r="W8" s="1"/>
      <c r="X8" s="1"/>
      <c r="Y8" s="1" t="s">
        <v>38</v>
      </c>
      <c r="Z8" s="1"/>
      <c r="AA8" s="1"/>
      <c r="AB8" s="1"/>
      <c r="AC8" s="1" t="s">
        <v>38</v>
      </c>
      <c r="AD8" s="1"/>
      <c r="AE8" s="1" t="s">
        <v>38</v>
      </c>
      <c r="AF8" s="1"/>
      <c r="AG8" s="1"/>
      <c r="AH8" s="1" t="s">
        <v>88</v>
      </c>
      <c r="AI8" s="1"/>
    </row>
    <row r="9" s="2" customFormat="1" ht="148.5" spans="1:37">
      <c r="B9" s="1" t="s">
        <v>41</v>
      </c>
      <c r="C9" s="4" t="s">
        <v>89</v>
      </c>
      <c r="D9" s="4" t="s">
        <v>89</v>
      </c>
      <c r="E9" s="5" t="s">
        <v>43</v>
      </c>
      <c r="F9" s="6" t="s">
        <v>90</v>
      </c>
      <c r="G9" s="4" t="s">
        <v>91</v>
      </c>
      <c r="H9" s="2"/>
      <c r="I9" s="2"/>
      <c r="J9" s="2"/>
      <c r="K9" s="2"/>
      <c r="L9" s="4" t="s">
        <v>92</v>
      </c>
      <c r="M9" s="4" t="s">
        <v>93</v>
      </c>
      <c r="N9" s="4" t="s">
        <v>94</v>
      </c>
      <c r="O9" s="4" t="s">
        <v>95</v>
      </c>
      <c r="P9" s="4" t="s">
        <v>95</v>
      </c>
      <c r="Q9" s="4" t="s">
        <v>96</v>
      </c>
      <c r="R9" s="4" t="s">
        <v>97</v>
      </c>
      <c r="S9" s="4" t="s">
        <v>98</v>
      </c>
      <c r="T9" s="2"/>
      <c r="U9" s="4" t="s">
        <v>99</v>
      </c>
      <c r="V9" s="2"/>
      <c r="W9" s="2"/>
      <c r="X9" s="2"/>
      <c r="Y9" s="4" t="s">
        <v>100</v>
      </c>
      <c r="Z9" s="2"/>
      <c r="AA9" s="2"/>
      <c r="AB9" s="2"/>
      <c r="AC9" s="4" t="s">
        <v>101</v>
      </c>
      <c r="AD9" s="2"/>
      <c r="AE9" s="4" t="s">
        <v>102</v>
      </c>
      <c r="AF9" s="2"/>
      <c r="AG9" s="2"/>
      <c r="AH9" s="4" t="s">
        <v>103</v>
      </c>
    </row>
    <row r="10" spans="1:37">
      <c r="A10" s="1">
        <v>5</v>
      </c>
      <c r="B10" s="1" t="s">
        <v>36</v>
      </c>
      <c r="C10" s="1">
        <v>1.6</v>
      </c>
      <c r="D10" s="1">
        <v>62.5</v>
      </c>
      <c r="E10" s="1">
        <f t="shared" si="0"/>
        <v>24.4140625</v>
      </c>
      <c r="F10" s="1" t="s">
        <v>37</v>
      </c>
      <c r="G10" s="1" t="s">
        <v>38</v>
      </c>
      <c r="H10" s="1"/>
      <c r="I10" s="1"/>
      <c r="J10" s="1"/>
      <c r="K10" s="1"/>
      <c r="L10" s="1" t="s">
        <v>38</v>
      </c>
      <c r="M10" s="1"/>
      <c r="N10" s="1" t="s">
        <v>38</v>
      </c>
      <c r="O10" s="1"/>
      <c r="P10" s="1"/>
      <c r="Q10" s="1"/>
      <c r="R10" s="1"/>
      <c r="S10" s="1"/>
      <c r="T10" s="1"/>
      <c r="U10" s="1" t="s">
        <v>38</v>
      </c>
      <c r="V10" s="1"/>
      <c r="W10" s="1"/>
      <c r="X10" s="1"/>
      <c r="Y10" s="1" t="s">
        <v>38</v>
      </c>
      <c r="Z10" s="1"/>
      <c r="AA10" s="1"/>
      <c r="AB10" s="1"/>
      <c r="AC10" s="1" t="s">
        <v>104</v>
      </c>
      <c r="AD10" s="1" t="s">
        <v>105</v>
      </c>
      <c r="AE10" s="1" t="s">
        <v>55</v>
      </c>
      <c r="AF10" s="1" t="s">
        <v>106</v>
      </c>
      <c r="AG10" s="1" t="s">
        <v>107</v>
      </c>
      <c r="AH10" s="1"/>
      <c r="AI10" s="1"/>
    </row>
    <row r="11" s="2" customFormat="1" ht="229.5" spans="1:37">
      <c r="B11" s="1" t="s">
        <v>41</v>
      </c>
      <c r="C11" s="4" t="s">
        <v>108</v>
      </c>
      <c r="D11" s="4" t="s">
        <v>108</v>
      </c>
      <c r="E11" s="5" t="s">
        <v>43</v>
      </c>
      <c r="F11" s="6" t="s">
        <v>109</v>
      </c>
      <c r="G11" s="4" t="s">
        <v>110</v>
      </c>
      <c r="H11" s="2"/>
      <c r="I11" s="2"/>
      <c r="J11" s="2"/>
      <c r="K11" s="2"/>
      <c r="L11" s="4" t="s">
        <v>111</v>
      </c>
      <c r="M11" s="4" t="s">
        <v>112</v>
      </c>
      <c r="N11" s="4" t="s">
        <v>113</v>
      </c>
      <c r="O11" s="2"/>
      <c r="P11" s="2"/>
      <c r="Q11" s="2"/>
      <c r="R11" s="2"/>
      <c r="S11" s="2"/>
      <c r="T11" s="2"/>
      <c r="U11" s="4" t="s">
        <v>114</v>
      </c>
      <c r="V11" s="2"/>
      <c r="W11" s="2"/>
      <c r="X11" s="2"/>
      <c r="Y11" s="4" t="s">
        <v>115</v>
      </c>
      <c r="Z11" s="2"/>
      <c r="AA11" s="2"/>
      <c r="AB11" s="2"/>
      <c r="AC11" s="4" t="s">
        <v>116</v>
      </c>
      <c r="AD11" s="4" t="s">
        <v>116</v>
      </c>
      <c r="AE11" s="4" t="s">
        <v>117</v>
      </c>
      <c r="AF11" s="4" t="s">
        <v>118</v>
      </c>
      <c r="AG11" s="4" t="s">
        <v>119</v>
      </c>
      <c r="AH11" s="4" t="s">
        <v>120</v>
      </c>
    </row>
    <row r="12" s="1" customFormat="1" spans="1:37">
      <c r="A12" s="1">
        <v>6</v>
      </c>
      <c r="B12" s="1" t="s">
        <v>36</v>
      </c>
      <c r="C12" s="1">
        <v>1.7</v>
      </c>
      <c r="D12" s="1">
        <v>66</v>
      </c>
      <c r="E12" s="1">
        <f t="shared" si="0"/>
        <v>22.8373702422145</v>
      </c>
      <c r="F12" s="1" t="s">
        <v>121</v>
      </c>
      <c r="G12" s="1" t="s">
        <v>38</v>
      </c>
      <c r="L12" s="1" t="s">
        <v>38</v>
      </c>
      <c r="N12" s="1" t="s">
        <v>38</v>
      </c>
      <c r="T12" s="1" t="s">
        <v>38</v>
      </c>
      <c r="U12" s="1" t="s">
        <v>38</v>
      </c>
      <c r="Y12" s="1" t="s">
        <v>38</v>
      </c>
      <c r="AC12" s="1" t="s">
        <v>38</v>
      </c>
      <c r="AE12" s="1" t="s">
        <v>38</v>
      </c>
      <c r="AH12" s="1">
        <v>120</v>
      </c>
      <c r="AI12" s="1" t="s">
        <v>122</v>
      </c>
      <c r="AJ12" s="1" t="s">
        <v>40</v>
      </c>
    </row>
    <row r="13" ht="175.5" spans="1:37">
      <c r="A13" s="1"/>
      <c r="B13" s="1" t="s">
        <v>41</v>
      </c>
      <c r="C13" s="8" t="s">
        <v>123</v>
      </c>
      <c r="D13" s="8" t="s">
        <v>123</v>
      </c>
      <c r="E13" s="9" t="s">
        <v>43</v>
      </c>
      <c r="F13" s="10" t="s">
        <v>124</v>
      </c>
      <c r="G13" s="8" t="s">
        <v>125</v>
      </c>
      <c r="L13" s="8" t="s">
        <v>126</v>
      </c>
      <c r="M13" s="8" t="s">
        <v>127</v>
      </c>
      <c r="N13" s="8" t="s">
        <v>128</v>
      </c>
      <c r="T13" s="8" t="s">
        <v>129</v>
      </c>
      <c r="U13" s="8" t="s">
        <v>64</v>
      </c>
      <c r="Y13" s="8" t="s">
        <v>130</v>
      </c>
      <c r="AC13" s="8" t="s">
        <v>131</v>
      </c>
      <c r="AE13" s="8" t="s">
        <v>132</v>
      </c>
      <c r="AH13" s="8" t="s">
        <v>133</v>
      </c>
      <c r="AI13" s="8" t="s">
        <v>134</v>
      </c>
      <c r="AJ13" s="8" t="s">
        <v>135</v>
      </c>
      <c r="AK13" s="8" t="s">
        <v>136</v>
      </c>
    </row>
    <row r="14" spans="1:37">
      <c r="A14" s="1">
        <v>7</v>
      </c>
      <c r="B14" s="1" t="s">
        <v>36</v>
      </c>
      <c r="E14" t="e">
        <f t="shared" si="0"/>
        <v>#DIV/0!</v>
      </c>
    </row>
    <row r="15" ht="15" spans="1:37">
      <c r="A15" s="1"/>
      <c r="B15" s="1" t="s">
        <v>41</v>
      </c>
      <c r="E15" s="9" t="s">
        <v>43</v>
      </c>
      <c r="F15" s="9"/>
    </row>
    <row r="16" spans="1:37">
      <c r="A16" s="1">
        <v>8</v>
      </c>
      <c r="B16" s="1" t="s">
        <v>36</v>
      </c>
      <c r="E16" t="e">
        <f t="shared" si="0"/>
        <v>#DIV/0!</v>
      </c>
    </row>
    <row r="17" ht="15" spans="1:6">
      <c r="A17" s="1"/>
      <c r="B17" s="1" t="s">
        <v>41</v>
      </c>
      <c r="E17" s="9" t="s">
        <v>43</v>
      </c>
      <c r="F17" s="9"/>
    </row>
    <row r="18" spans="1:6">
      <c r="A18" s="1">
        <v>9</v>
      </c>
      <c r="B18" s="1" t="s">
        <v>36</v>
      </c>
      <c r="E18" t="e">
        <f t="shared" si="0"/>
        <v>#DIV/0!</v>
      </c>
    </row>
    <row r="19" ht="15" spans="1:6">
      <c r="A19" s="1"/>
      <c r="B19" s="1" t="s">
        <v>41</v>
      </c>
      <c r="E19" s="9" t="s">
        <v>43</v>
      </c>
      <c r="F19" s="9"/>
    </row>
    <row r="20" spans="1:6">
      <c r="A20" s="1">
        <v>10</v>
      </c>
      <c r="B20" s="1" t="s">
        <v>36</v>
      </c>
      <c r="E20" t="e">
        <f t="shared" si="0"/>
        <v>#DIV/0!</v>
      </c>
    </row>
    <row r="21" ht="15" spans="1:6">
      <c r="A21" s="1"/>
      <c r="B21" s="1" t="s">
        <v>41</v>
      </c>
      <c r="E21" s="9" t="s">
        <v>43</v>
      </c>
      <c r="F21" s="9"/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liboqin</dc:creator>
  <cp:lastModifiedBy>chips</cp:lastModifiedBy>
  <dcterms:created xsi:type="dcterms:W3CDTF">2025-08-09T03:24:00Z</dcterms:created>
  <dcterms:modified xsi:type="dcterms:W3CDTF">2026-03-25T09:18:35Z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4AA44CE16A1D481C9860AA011E249D6A_13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